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ciliali/Desktop/"/>
    </mc:Choice>
  </mc:AlternateContent>
  <xr:revisionPtr revIDLastSave="0" documentId="13_ncr:1_{EC1FC8FD-4381-8D49-8F3E-624BC95C3DC0}" xr6:coauthVersionLast="47" xr6:coauthVersionMax="47" xr10:uidLastSave="{00000000-0000-0000-0000-000000000000}"/>
  <bookViews>
    <workbookView xWindow="11400" yWindow="1580" windowWidth="21220" windowHeight="17240" activeTab="4" xr2:uid="{196D4E4D-0661-1342-8ED4-8BDEC1D02DD8}"/>
  </bookViews>
  <sheets>
    <sheet name="Income_Statement" sheetId="3" r:id="rId1"/>
    <sheet name="Balance_Sheet" sheetId="4" r:id="rId2"/>
    <sheet name="Cash_Flow_Statement" sheetId="5" r:id="rId3"/>
    <sheet name="Key_Metrics_Analysis" sheetId="6" r:id="rId4"/>
    <sheet name="Ratio Comparison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B5" i="2"/>
</calcChain>
</file>

<file path=xl/sharedStrings.xml><?xml version="1.0" encoding="utf-8"?>
<sst xmlns="http://schemas.openxmlformats.org/spreadsheetml/2006/main" count="220" uniqueCount="182">
  <si>
    <t>Diluted</t>
  </si>
  <si>
    <t>Basic</t>
  </si>
  <si>
    <t>LOSS PER COMMON SHARE</t>
  </si>
  <si>
    <t>NET LOSS</t>
  </si>
  <si>
    <t>Income tax benefit</t>
  </si>
  <si>
    <t>LOSS BEFORE INCOME TAXES</t>
  </si>
  <si>
    <t>Total other expense</t>
  </si>
  <si>
    <t>Other</t>
  </si>
  <si>
    <t>Gain on debt extinguishments</t>
  </si>
  <si>
    <t>Gain (loss) on investments, net</t>
  </si>
  <si>
    <t>Capitalized interest</t>
  </si>
  <si>
    <t>Interest income</t>
  </si>
  <si>
    <t>Interest expense</t>
  </si>
  <si>
    <t>OTHER INCOME (EXPENSE)</t>
  </si>
  <si>
    <t>OPERATING LOSS</t>
  </si>
  <si>
    <t>Total operating expenses</t>
  </si>
  <si>
    <t>Other operating expenses</t>
  </si>
  <si>
    <t>Special items</t>
  </si>
  <si>
    <t>Maintenance, materials and repairs</t>
  </si>
  <si>
    <t>Sales and marketing</t>
  </si>
  <si>
    <t>Aircraft rent</t>
  </si>
  <si>
    <t>Depreciation and amortization</t>
  </si>
  <si>
    <t>Landing fees and other rents</t>
  </si>
  <si>
    <t>Salaries, wages and benefits</t>
  </si>
  <si>
    <t>Aircraft fuel</t>
  </si>
  <si>
    <t>OPERATING EXPENSES</t>
  </si>
  <si>
    <t>Total operating revenues</t>
  </si>
  <si>
    <t>Other revenue</t>
  </si>
  <si>
    <t>Passenger revenue</t>
  </si>
  <si>
    <t>OPERATING REVENUES</t>
  </si>
  <si>
    <t>YoY Change 2025 vs 2024</t>
  </si>
  <si>
    <t>2023 ($ millions)</t>
  </si>
  <si>
    <t>2024 ($ millions)</t>
  </si>
  <si>
    <t>2025 ($ millions)</t>
  </si>
  <si>
    <t>Line Item</t>
  </si>
  <si>
    <t>Data extracted from 2025 Annual Report (Form 10-K) - Years ended December 31</t>
  </si>
  <si>
    <t>JetBlue Airways Corporation - Consolidated Statements of Operations</t>
  </si>
  <si>
    <t>TOTAL LIABILITIES AND STOCKHOLDERS' EQUITY</t>
  </si>
  <si>
    <t>Total stockholders' equity</t>
  </si>
  <si>
    <t>Accumulated other comprehensive income (loss)</t>
  </si>
  <si>
    <t>Retained earnings</t>
  </si>
  <si>
    <t>Additional paid-in capital</t>
  </si>
  <si>
    <t>Treasury stock, at cost</t>
  </si>
  <si>
    <t>Common stock</t>
  </si>
  <si>
    <t>STOCKHOLDERS' EQUITY</t>
  </si>
  <si>
    <t>Total deferred taxes and other liabilities</t>
  </si>
  <si>
    <t>Air traffic liability - non-current</t>
  </si>
  <si>
    <t>Deferred income taxes</t>
  </si>
  <si>
    <t>DEFERRED TAXES AND OTHER LIABILITIES</t>
  </si>
  <si>
    <t>LONG-TERM OPERATING LEASE LIABILITIES</t>
  </si>
  <si>
    <t>LONG-TERM DEBT AND FINANCE LEASE OBLIGATIONS</t>
  </si>
  <si>
    <t>Total current liabilities</t>
  </si>
  <si>
    <t>Current maturities of long-term debt</t>
  </si>
  <si>
    <t>Current operating lease liabilities</t>
  </si>
  <si>
    <t>Other accrued liabilities</t>
  </si>
  <si>
    <t>Accrued salaries, wages and benefits</t>
  </si>
  <si>
    <t>Air traffic liability</t>
  </si>
  <si>
    <t>Accounts payable</t>
  </si>
  <si>
    <t>CURRENT LIABILITIES</t>
  </si>
  <si>
    <t>LIABILITIES AND STOCKHOLDERS' EQUITY</t>
  </si>
  <si>
    <t>TOTAL ASSETS</t>
  </si>
  <si>
    <t>Total other assets</t>
  </si>
  <si>
    <t>Intangible assets, net</t>
  </si>
  <si>
    <t>Restricted cash and cash equivalents</t>
  </si>
  <si>
    <t>Investment securities</t>
  </si>
  <si>
    <t>OTHER ASSETS</t>
  </si>
  <si>
    <t>OPERATING LEASE ASSETS</t>
  </si>
  <si>
    <t>Total property and equipment, net</t>
  </si>
  <si>
    <t>Total other property and equipment, net</t>
  </si>
  <si>
    <t>Total flight equipment and pre-delivery deposits, net</t>
  </si>
  <si>
    <t>PROPERTY AND EQUIPMENT</t>
  </si>
  <si>
    <t>Total current assets</t>
  </si>
  <si>
    <t>Prepaid expenses and other</t>
  </si>
  <si>
    <t>Spare parts, aircraft fuel and supplies</t>
  </si>
  <si>
    <t>Receivables, less allowance</t>
  </si>
  <si>
    <t>Cash and cash equivalents</t>
  </si>
  <si>
    <t>CURRENT ASSETS</t>
  </si>
  <si>
    <t>ASSETS</t>
  </si>
  <si>
    <t>YoY Change</t>
  </si>
  <si>
    <t>Dec 31, 2024 ($ millions)</t>
  </si>
  <si>
    <t>Dec 31, 2025 ($ millions)</t>
  </si>
  <si>
    <t>Note: 2023 Balance Sheet data not directly comparable in this 2025 10-K report (comparative only shows 2025 vs 2024). 2023 data available in prior year filings.</t>
  </si>
  <si>
    <t>JetBlue Airways Corporation - Consolidated Balance Sheets</t>
  </si>
  <si>
    <t>Cash, cash equivalents, restricted cash at end of period</t>
  </si>
  <si>
    <t>Cash at beginning of period</t>
  </si>
  <si>
    <t>Net increase (decrease) in cash and equivalents</t>
  </si>
  <si>
    <t>Net cash (used in) provided by financing activities</t>
  </si>
  <si>
    <t>Other financing (net)</t>
  </si>
  <si>
    <t>Repayment of long-term debt</t>
  </si>
  <si>
    <t>Proceeds from failed sale-leaseback transactions</t>
  </si>
  <si>
    <t>Proceeds from issuance of long-term debt</t>
  </si>
  <si>
    <t>CASH FLOWS FROM FINANCING ACTIVITIES</t>
  </si>
  <si>
    <t>Net cash provided by (used in) investing activities</t>
  </si>
  <si>
    <t>Proceeds from sale of assets and sale-leaseback</t>
  </si>
  <si>
    <t>Purchase of investments (net)</t>
  </si>
  <si>
    <t>Capital expenditures</t>
  </si>
  <si>
    <t>CASH FLOWS FROM INVESTING ACTIVITIES</t>
  </si>
  <si>
    <t>Net cash (used in) provided by operating activities</t>
  </si>
  <si>
    <t>Changes in operating assets and liabilities (net)</t>
  </si>
  <si>
    <t>Gain on flight equipment transactions, net</t>
  </si>
  <si>
    <t>Stock-based compensation</t>
  </si>
  <si>
    <t>Net loss</t>
  </si>
  <si>
    <t>CASH FLOWS FROM OPERATING ACTIVITIES</t>
  </si>
  <si>
    <t>JetBlue Airways Corporation - Consolidated Statements of Cash Flows</t>
  </si>
  <si>
    <t>• Created to accompany academic research project on JetBlue financial analysis.</t>
  </si>
  <si>
    <t>• For educational / analysis purposes. Not financial advice.</t>
  </si>
  <si>
    <t>• YoY changes calculated where comparable data available. Some 2023 Balance Sheet items not in this filing.</t>
  </si>
  <si>
    <t>• Data sourced directly from JetBlue Airways Corporation 2025 Form 10-K Annual Report.</t>
  </si>
  <si>
    <t>• All figures in USD millions unless otherwise noted.</t>
  </si>
  <si>
    <t>Notes for GitHub / Portfolio:</t>
  </si>
  <si>
    <t>Strategic disciplined growth</t>
  </si>
  <si>
    <t>Fort Lauderdale focus city</t>
  </si>
  <si>
    <t>Capacity Growth Focus 2026</t>
  </si>
  <si>
    <t>Now &gt;13% of total revenue</t>
  </si>
  <si>
    <t>+8% YoY</t>
  </si>
  <si>
    <t>Loyalty Revenue Growth</t>
  </si>
  <si>
    <t>2nd consecutive year of gains</t>
  </si>
  <si>
    <t>Exceeded targets</t>
  </si>
  <si>
    <t>On-time Performance</t>
  </si>
  <si>
    <t>Strong customer loyalty gains</t>
  </si>
  <si>
    <t>+17 points</t>
  </si>
  <si>
    <t>Net Promoter Score Improvement (2 years)</t>
  </si>
  <si>
    <t>Financial flexibility</t>
  </si>
  <si>
    <t>~$6.5 billion</t>
  </si>
  <si>
    <t>Unencumbered Assets</t>
  </si>
  <si>
    <t>Excl. undrawn revolver</t>
  </si>
  <si>
    <t>$2.5 billion</t>
  </si>
  <si>
    <t>Liquidity (end 2025)</t>
  </si>
  <si>
    <t>On track to $850-950M by 2027</t>
  </si>
  <si>
    <t>$310 million</t>
  </si>
  <si>
    <t>Expected JetForward EBIT 2026</t>
  </si>
  <si>
    <t>Slightly ahead of expectations</t>
  </si>
  <si>
    <t>$305 million</t>
  </si>
  <si>
    <t>JetForward Incremental EBIT 2025</t>
  </si>
  <si>
    <t>Notes</t>
  </si>
  <si>
    <t>Value</t>
  </si>
  <si>
    <t>Metric</t>
  </si>
  <si>
    <t>KEY STRATEGIC &amp; OPERATIONAL HIGHLIGHTS (from CEO Letter &amp; Report)</t>
  </si>
  <si>
    <t>High risk</t>
  </si>
  <si>
    <t>Increased</t>
  </si>
  <si>
    <t>N/A</t>
  </si>
  <si>
    <t>Debt to Equity Ratio</t>
  </si>
  <si>
    <t>Decreased</t>
  </si>
  <si>
    <t>Stockholders' Equity</t>
  </si>
  <si>
    <t>High leverage</t>
  </si>
  <si>
    <t>Stable</t>
  </si>
  <si>
    <t>Total Debt (LT + Current Maturities)</t>
  </si>
  <si>
    <t>Below 1.0</t>
  </si>
  <si>
    <t>Worsened</t>
  </si>
  <si>
    <t>Current Ratio</t>
  </si>
  <si>
    <t>Negative</t>
  </si>
  <si>
    <t>Working Capital</t>
  </si>
  <si>
    <t>Total Current Liabilities</t>
  </si>
  <si>
    <t>Total Current Assets</t>
  </si>
  <si>
    <t>Strong per mgmt</t>
  </si>
  <si>
    <t>Total Liquidity (excl. revolver)</t>
  </si>
  <si>
    <t>Cash &amp; Cash Equivalents</t>
  </si>
  <si>
    <t>Trend</t>
  </si>
  <si>
    <t>YoY 2025 vs 2024</t>
  </si>
  <si>
    <t>2023</t>
  </si>
  <si>
    <t>2024</t>
  </si>
  <si>
    <t>2025</t>
  </si>
  <si>
    <t>LIQUIDITY &amp; LEVERAGE</t>
  </si>
  <si>
    <t>Positive contribution</t>
  </si>
  <si>
    <t>N/A (started 2024)</t>
  </si>
  <si>
    <t>JetForward Incremental EBIT</t>
  </si>
  <si>
    <t>Still negative</t>
  </si>
  <si>
    <t>Improved</t>
  </si>
  <si>
    <t>Basic EPS</t>
  </si>
  <si>
    <t>Still loss-making</t>
  </si>
  <si>
    <t>Net Loss</t>
  </si>
  <si>
    <t>Improved from 2024</t>
  </si>
  <si>
    <t>Operating Margin %</t>
  </si>
  <si>
    <t>Declining</t>
  </si>
  <si>
    <t>Total Operating Revenue</t>
  </si>
  <si>
    <t>PROFITABILITY METRICS</t>
  </si>
  <si>
    <t>Source: JetBlue 2025 Annual Report (10-K). Data in $ millions unless noted. For GitHub / portfolio use.</t>
  </si>
  <si>
    <t>JetBlue Airways - Key Financial Metrics &amp; Analysis (2023-2025)</t>
  </si>
  <si>
    <t>Key Ratios Comparison</t>
  </si>
  <si>
    <t>Liquidity</t>
  </si>
  <si>
    <t>Curent ratio</t>
  </si>
  <si>
    <t>Quick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</si>
</sst>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&quot;%&quot;"/>
  </numFmts>
  <fonts count="1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i/>
      <sz val="10"/>
      <name val="Calibri"/>
      <family val="2"/>
    </font>
    <font>
      <b/>
      <sz val="14"/>
      <name val="Calibri"/>
      <family val="2"/>
    </font>
    <font>
      <i/>
      <sz val="9"/>
      <color rgb="FFFF0000"/>
      <name val="Calibri"/>
      <family val="2"/>
    </font>
    <font>
      <i/>
      <sz val="9"/>
      <name val="Calibri"/>
      <family val="2"/>
    </font>
    <font>
      <b/>
      <sz val="12"/>
      <color rgb="FF1F4E79"/>
      <name val="Calibri"/>
      <family val="2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1F4E79"/>
        <bgColor rgb="FF1F4E79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26">
    <xf numFmtId="0" fontId="0" fillId="0" borderId="0" xfId="0"/>
    <xf numFmtId="0" fontId="2" fillId="0" borderId="0" xfId="2"/>
    <xf numFmtId="0" fontId="2" fillId="0" borderId="1" xfId="2" applyBorder="1" applyAlignment="1">
      <alignment horizontal="right"/>
    </xf>
    <xf numFmtId="3" fontId="2" fillId="0" borderId="1" xfId="2" applyNumberFormat="1" applyBorder="1" applyAlignment="1">
      <alignment horizontal="right"/>
    </xf>
    <xf numFmtId="0" fontId="2" fillId="0" borderId="1" xfId="2" applyBorder="1" applyAlignment="1">
      <alignment horizontal="left"/>
    </xf>
    <xf numFmtId="164" fontId="2" fillId="0" borderId="1" xfId="2" applyNumberFormat="1" applyBorder="1" applyAlignment="1">
      <alignment horizontal="right"/>
    </xf>
    <xf numFmtId="0" fontId="3" fillId="2" borderId="1" xfId="2" applyFont="1" applyFill="1" applyBorder="1" applyAlignment="1">
      <alignment horizontal="left"/>
    </xf>
    <xf numFmtId="0" fontId="4" fillId="0" borderId="1" xfId="2" applyFont="1" applyBorder="1" applyAlignment="1">
      <alignment horizontal="left"/>
    </xf>
    <xf numFmtId="0" fontId="5" fillId="3" borderId="1" xfId="2" applyFont="1" applyFill="1" applyBorder="1" applyAlignment="1">
      <alignment horizontal="right"/>
    </xf>
    <xf numFmtId="0" fontId="5" fillId="3" borderId="1" xfId="2" applyFont="1" applyFill="1" applyBorder="1" applyAlignment="1">
      <alignment horizontal="left"/>
    </xf>
    <xf numFmtId="0" fontId="2" fillId="0" borderId="0" xfId="2"/>
    <xf numFmtId="0" fontId="6" fillId="0" borderId="0" xfId="2" applyFont="1"/>
    <xf numFmtId="0" fontId="7" fillId="0" borderId="0" xfId="2" applyFont="1"/>
    <xf numFmtId="0" fontId="8" fillId="0" borderId="0" xfId="2" applyFont="1"/>
    <xf numFmtId="0" fontId="9" fillId="0" borderId="0" xfId="2" applyFont="1"/>
    <xf numFmtId="0" fontId="4" fillId="0" borderId="0" xfId="2" applyFont="1"/>
    <xf numFmtId="0" fontId="5" fillId="3" borderId="0" xfId="2" applyFont="1" applyFill="1"/>
    <xf numFmtId="0" fontId="10" fillId="0" borderId="0" xfId="2" applyFont="1"/>
    <xf numFmtId="2" fontId="2" fillId="0" borderId="0" xfId="2" applyNumberFormat="1"/>
    <xf numFmtId="3" fontId="2" fillId="0" borderId="0" xfId="2" applyNumberFormat="1"/>
    <xf numFmtId="165" fontId="2" fillId="0" borderId="0" xfId="2" applyNumberFormat="1"/>
    <xf numFmtId="0" fontId="10" fillId="0" borderId="0" xfId="2" applyFont="1"/>
    <xf numFmtId="0" fontId="9" fillId="0" borderId="0" xfId="2" applyFont="1"/>
    <xf numFmtId="0" fontId="11" fillId="0" borderId="0" xfId="0" applyFont="1"/>
    <xf numFmtId="0" fontId="12" fillId="4" borderId="0" xfId="0" applyFont="1" applyFill="1"/>
    <xf numFmtId="9" fontId="0" fillId="0" borderId="0" xfId="1" applyFont="1"/>
  </cellXfs>
  <cellStyles count="3">
    <cellStyle name="Normal" xfId="0" builtinId="0"/>
    <cellStyle name="Normal 2" xfId="2" xr:uid="{867B00AD-CCAB-E249-9E25-103D8425776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CAFF5-0368-BB46-993C-8E786C038C65}">
  <dimension ref="A1:E39"/>
  <sheetViews>
    <sheetView workbookViewId="0">
      <selection activeCell="A28" sqref="A28"/>
    </sheetView>
  </sheetViews>
  <sheetFormatPr baseColWidth="10" defaultColWidth="8.83203125" defaultRowHeight="15" x14ac:dyDescent="0.2"/>
  <cols>
    <col min="1" max="1" width="40" style="1" customWidth="1"/>
    <col min="2" max="5" width="18" style="1" customWidth="1"/>
    <col min="6" max="16384" width="8.83203125" style="1"/>
  </cols>
  <sheetData>
    <row r="1" spans="1:5" ht="19" x14ac:dyDescent="0.25">
      <c r="A1" s="12" t="s">
        <v>36</v>
      </c>
      <c r="B1" s="10"/>
      <c r="C1" s="10"/>
      <c r="D1" s="10"/>
      <c r="E1" s="10"/>
    </row>
    <row r="2" spans="1:5" x14ac:dyDescent="0.2">
      <c r="A2" s="11" t="s">
        <v>35</v>
      </c>
      <c r="B2" s="10"/>
      <c r="C2" s="10"/>
      <c r="D2" s="10"/>
      <c r="E2" s="10"/>
    </row>
    <row r="4" spans="1:5" ht="16" x14ac:dyDescent="0.2">
      <c r="A4" s="9" t="s">
        <v>34</v>
      </c>
      <c r="B4" s="8" t="s">
        <v>33</v>
      </c>
      <c r="C4" s="8" t="s">
        <v>32</v>
      </c>
      <c r="D4" s="8" t="s">
        <v>31</v>
      </c>
      <c r="E4" s="8" t="s">
        <v>30</v>
      </c>
    </row>
    <row r="5" spans="1:5" x14ac:dyDescent="0.2">
      <c r="A5" s="6" t="s">
        <v>29</v>
      </c>
      <c r="B5" s="2"/>
      <c r="C5" s="2"/>
      <c r="D5" s="2"/>
      <c r="E5" s="2"/>
    </row>
    <row r="6" spans="1:5" x14ac:dyDescent="0.2">
      <c r="A6" s="4" t="s">
        <v>28</v>
      </c>
      <c r="B6" s="3">
        <v>8336</v>
      </c>
      <c r="C6" s="3">
        <v>8617</v>
      </c>
      <c r="D6" s="3">
        <v>9008</v>
      </c>
      <c r="E6" s="5">
        <v>-3.2609957061622383E-2</v>
      </c>
    </row>
    <row r="7" spans="1:5" x14ac:dyDescent="0.2">
      <c r="A7" s="4" t="s">
        <v>27</v>
      </c>
      <c r="B7" s="3">
        <v>726</v>
      </c>
      <c r="C7" s="3">
        <v>662</v>
      </c>
      <c r="D7" s="3">
        <v>607</v>
      </c>
      <c r="E7" s="5">
        <v>9.6676737160120846E-2</v>
      </c>
    </row>
    <row r="8" spans="1:5" x14ac:dyDescent="0.2">
      <c r="A8" s="7" t="s">
        <v>26</v>
      </c>
      <c r="B8" s="3">
        <v>9062</v>
      </c>
      <c r="C8" s="3">
        <v>9279</v>
      </c>
      <c r="D8" s="3">
        <v>9615</v>
      </c>
      <c r="E8" s="5">
        <v>-2.3386140747925419E-2</v>
      </c>
    </row>
    <row r="9" spans="1:5" x14ac:dyDescent="0.2">
      <c r="A9" s="4"/>
      <c r="B9" s="2"/>
      <c r="C9" s="2"/>
      <c r="D9" s="2"/>
      <c r="E9" s="2"/>
    </row>
    <row r="10" spans="1:5" x14ac:dyDescent="0.2">
      <c r="A10" s="6" t="s">
        <v>25</v>
      </c>
      <c r="B10" s="2"/>
      <c r="C10" s="2"/>
      <c r="D10" s="2"/>
      <c r="E10" s="2"/>
    </row>
    <row r="11" spans="1:5" x14ac:dyDescent="0.2">
      <c r="A11" s="4" t="s">
        <v>24</v>
      </c>
      <c r="B11" s="3">
        <v>2057</v>
      </c>
      <c r="C11" s="3">
        <v>2343</v>
      </c>
      <c r="D11" s="3">
        <v>2807</v>
      </c>
      <c r="E11" s="5">
        <v>-0.1220657276995305</v>
      </c>
    </row>
    <row r="12" spans="1:5" x14ac:dyDescent="0.2">
      <c r="A12" s="4" t="s">
        <v>23</v>
      </c>
      <c r="B12" s="3">
        <v>3453</v>
      </c>
      <c r="C12" s="3">
        <v>3263</v>
      </c>
      <c r="D12" s="3">
        <v>3055</v>
      </c>
      <c r="E12" s="5">
        <v>5.8228623965675762E-2</v>
      </c>
    </row>
    <row r="13" spans="1:5" x14ac:dyDescent="0.2">
      <c r="A13" s="4" t="s">
        <v>22</v>
      </c>
      <c r="B13" s="3">
        <v>658</v>
      </c>
      <c r="C13" s="3">
        <v>659</v>
      </c>
      <c r="D13" s="3">
        <v>657</v>
      </c>
      <c r="E13" s="5">
        <v>-1.5174506828528069E-3</v>
      </c>
    </row>
    <row r="14" spans="1:5" x14ac:dyDescent="0.2">
      <c r="A14" s="4" t="s">
        <v>21</v>
      </c>
      <c r="B14" s="3">
        <v>688</v>
      </c>
      <c r="C14" s="3">
        <v>655</v>
      </c>
      <c r="D14" s="3">
        <v>621</v>
      </c>
      <c r="E14" s="5">
        <v>5.0381679389312983E-2</v>
      </c>
    </row>
    <row r="15" spans="1:5" x14ac:dyDescent="0.2">
      <c r="A15" s="4" t="s">
        <v>20</v>
      </c>
      <c r="B15" s="3">
        <v>74</v>
      </c>
      <c r="C15" s="3">
        <v>92</v>
      </c>
      <c r="D15" s="3">
        <v>126</v>
      </c>
      <c r="E15" s="5">
        <v>-0.19565217391304349</v>
      </c>
    </row>
    <row r="16" spans="1:5" x14ac:dyDescent="0.2">
      <c r="A16" s="4" t="s">
        <v>19</v>
      </c>
      <c r="B16" s="3">
        <v>305</v>
      </c>
      <c r="C16" s="3">
        <v>328</v>
      </c>
      <c r="D16" s="3">
        <v>316</v>
      </c>
      <c r="E16" s="5">
        <v>-7.0121951219512202E-2</v>
      </c>
    </row>
    <row r="17" spans="1:5" x14ac:dyDescent="0.2">
      <c r="A17" s="4" t="s">
        <v>18</v>
      </c>
      <c r="B17" s="3">
        <v>791</v>
      </c>
      <c r="C17" s="3">
        <v>628</v>
      </c>
      <c r="D17" s="3">
        <v>654</v>
      </c>
      <c r="E17" s="5">
        <v>0.25955414012738848</v>
      </c>
    </row>
    <row r="18" spans="1:5" x14ac:dyDescent="0.2">
      <c r="A18" s="4" t="s">
        <v>17</v>
      </c>
      <c r="B18" s="3">
        <v>30</v>
      </c>
      <c r="C18" s="3">
        <v>591</v>
      </c>
      <c r="D18" s="3">
        <v>197</v>
      </c>
      <c r="E18" s="5">
        <v>-0.949238578680203</v>
      </c>
    </row>
    <row r="19" spans="1:5" x14ac:dyDescent="0.2">
      <c r="A19" s="4" t="s">
        <v>16</v>
      </c>
      <c r="B19" s="3">
        <v>1374</v>
      </c>
      <c r="C19" s="3">
        <v>1404</v>
      </c>
      <c r="D19" s="3">
        <v>1412</v>
      </c>
      <c r="E19" s="5">
        <v>-2.1367521367521371E-2</v>
      </c>
    </row>
    <row r="20" spans="1:5" x14ac:dyDescent="0.2">
      <c r="A20" s="7" t="s">
        <v>15</v>
      </c>
      <c r="B20" s="3">
        <v>9430</v>
      </c>
      <c r="C20" s="3">
        <v>9963</v>
      </c>
      <c r="D20" s="3">
        <v>9845</v>
      </c>
      <c r="E20" s="5">
        <v>-5.3497942386831282E-2</v>
      </c>
    </row>
    <row r="21" spans="1:5" x14ac:dyDescent="0.2">
      <c r="A21" s="4"/>
      <c r="B21" s="2"/>
      <c r="C21" s="2"/>
      <c r="D21" s="2"/>
      <c r="E21" s="2"/>
    </row>
    <row r="22" spans="1:5" x14ac:dyDescent="0.2">
      <c r="A22" s="7" t="s">
        <v>14</v>
      </c>
      <c r="B22" s="3">
        <v>-368</v>
      </c>
      <c r="C22" s="3">
        <v>-684</v>
      </c>
      <c r="D22" s="3">
        <v>-230</v>
      </c>
      <c r="E22" s="5">
        <v>0.46198830409356723</v>
      </c>
    </row>
    <row r="23" spans="1:5" x14ac:dyDescent="0.2">
      <c r="A23" s="4"/>
      <c r="B23" s="2"/>
      <c r="C23" s="2"/>
      <c r="D23" s="2"/>
      <c r="E23" s="2"/>
    </row>
    <row r="24" spans="1:5" x14ac:dyDescent="0.2">
      <c r="A24" s="6" t="s">
        <v>13</v>
      </c>
      <c r="B24" s="2"/>
      <c r="C24" s="2"/>
      <c r="D24" s="2"/>
      <c r="E24" s="2"/>
    </row>
    <row r="25" spans="1:5" x14ac:dyDescent="0.2">
      <c r="A25" s="4" t="s">
        <v>12</v>
      </c>
      <c r="B25" s="3">
        <v>-588</v>
      </c>
      <c r="C25" s="3">
        <v>-365</v>
      </c>
      <c r="D25" s="3">
        <v>-210</v>
      </c>
      <c r="E25" s="5">
        <v>-0.61095890410958908</v>
      </c>
    </row>
    <row r="26" spans="1:5" x14ac:dyDescent="0.2">
      <c r="A26" s="4" t="s">
        <v>11</v>
      </c>
      <c r="B26" s="3">
        <v>127</v>
      </c>
      <c r="C26" s="3">
        <v>111</v>
      </c>
      <c r="D26" s="3">
        <v>70</v>
      </c>
      <c r="E26" s="5">
        <v>0.14414414414414409</v>
      </c>
    </row>
    <row r="27" spans="1:5" x14ac:dyDescent="0.2">
      <c r="A27" s="4" t="s">
        <v>10</v>
      </c>
      <c r="B27" s="3">
        <v>9</v>
      </c>
      <c r="C27" s="3">
        <v>15</v>
      </c>
      <c r="D27" s="3">
        <v>19</v>
      </c>
      <c r="E27" s="5">
        <v>-0.4</v>
      </c>
    </row>
    <row r="28" spans="1:5" x14ac:dyDescent="0.2">
      <c r="A28" s="4" t="s">
        <v>9</v>
      </c>
      <c r="B28" s="3">
        <v>18</v>
      </c>
      <c r="C28" s="3">
        <v>-27</v>
      </c>
      <c r="D28" s="3">
        <v>9</v>
      </c>
      <c r="E28" s="5">
        <v>1.666666666666667</v>
      </c>
    </row>
    <row r="29" spans="1:5" x14ac:dyDescent="0.2">
      <c r="A29" s="4" t="s">
        <v>8</v>
      </c>
      <c r="B29" s="3">
        <v>0</v>
      </c>
      <c r="C29" s="3">
        <v>22</v>
      </c>
      <c r="D29" s="3">
        <v>0</v>
      </c>
      <c r="E29" s="2"/>
    </row>
    <row r="30" spans="1:5" x14ac:dyDescent="0.2">
      <c r="A30" s="4" t="s">
        <v>7</v>
      </c>
      <c r="B30" s="3">
        <v>28</v>
      </c>
      <c r="C30" s="3">
        <v>31</v>
      </c>
      <c r="D30" s="3">
        <v>8</v>
      </c>
      <c r="E30" s="5">
        <v>-9.6774193548387094E-2</v>
      </c>
    </row>
    <row r="31" spans="1:5" x14ac:dyDescent="0.2">
      <c r="A31" s="7" t="s">
        <v>6</v>
      </c>
      <c r="B31" s="3">
        <v>-406</v>
      </c>
      <c r="C31" s="3">
        <v>-213</v>
      </c>
      <c r="D31" s="3">
        <v>-104</v>
      </c>
      <c r="E31" s="5">
        <v>-0.9061032863849765</v>
      </c>
    </row>
    <row r="32" spans="1:5" x14ac:dyDescent="0.2">
      <c r="A32" s="4"/>
      <c r="B32" s="2"/>
      <c r="C32" s="2"/>
      <c r="D32" s="2"/>
      <c r="E32" s="2"/>
    </row>
    <row r="33" spans="1:5" x14ac:dyDescent="0.2">
      <c r="A33" s="7" t="s">
        <v>5</v>
      </c>
      <c r="B33" s="3">
        <v>-774</v>
      </c>
      <c r="C33" s="3">
        <v>-897</v>
      </c>
      <c r="D33" s="3">
        <v>-334</v>
      </c>
      <c r="E33" s="5">
        <v>0.13712374581939801</v>
      </c>
    </row>
    <row r="34" spans="1:5" x14ac:dyDescent="0.2">
      <c r="A34" s="4" t="s">
        <v>4</v>
      </c>
      <c r="B34" s="3">
        <v>172</v>
      </c>
      <c r="C34" s="3">
        <v>102</v>
      </c>
      <c r="D34" s="3">
        <v>24</v>
      </c>
      <c r="E34" s="5">
        <v>0.68627450980392157</v>
      </c>
    </row>
    <row r="35" spans="1:5" x14ac:dyDescent="0.2">
      <c r="A35" s="7" t="s">
        <v>3</v>
      </c>
      <c r="B35" s="3">
        <v>-602</v>
      </c>
      <c r="C35" s="3">
        <v>-795</v>
      </c>
      <c r="D35" s="3">
        <v>-310</v>
      </c>
      <c r="E35" s="5">
        <v>0.24276729559748431</v>
      </c>
    </row>
    <row r="36" spans="1:5" x14ac:dyDescent="0.2">
      <c r="A36" s="4"/>
      <c r="B36" s="2"/>
      <c r="C36" s="2"/>
      <c r="D36" s="2"/>
      <c r="E36" s="2"/>
    </row>
    <row r="37" spans="1:5" x14ac:dyDescent="0.2">
      <c r="A37" s="6" t="s">
        <v>2</v>
      </c>
      <c r="B37" s="2"/>
      <c r="C37" s="2"/>
      <c r="D37" s="2"/>
      <c r="E37" s="2"/>
    </row>
    <row r="38" spans="1:5" x14ac:dyDescent="0.2">
      <c r="A38" s="4" t="s">
        <v>1</v>
      </c>
      <c r="B38" s="3">
        <v>-1.66</v>
      </c>
      <c r="C38" s="3">
        <v>-2.2999999999999998</v>
      </c>
      <c r="D38" s="3">
        <v>-0.93</v>
      </c>
      <c r="E38" s="5">
        <v>0.27826086956521739</v>
      </c>
    </row>
    <row r="39" spans="1:5" x14ac:dyDescent="0.2">
      <c r="A39" s="4" t="s">
        <v>0</v>
      </c>
      <c r="B39" s="3">
        <v>-1.66</v>
      </c>
      <c r="C39" s="3">
        <v>-2.2999999999999998</v>
      </c>
      <c r="D39" s="3">
        <v>-0.93</v>
      </c>
      <c r="E39" s="2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F1E51-CD1F-2646-BF1A-D632670E2B26}">
  <dimension ref="A1:D58"/>
  <sheetViews>
    <sheetView topLeftCell="A2" workbookViewId="0">
      <selection activeCell="C39" sqref="C39"/>
    </sheetView>
  </sheetViews>
  <sheetFormatPr baseColWidth="10" defaultColWidth="8.83203125" defaultRowHeight="15" x14ac:dyDescent="0.2"/>
  <cols>
    <col min="1" max="1" width="50" style="1" customWidth="1"/>
    <col min="2" max="4" width="22" style="1" customWidth="1"/>
    <col min="5" max="16384" width="8.83203125" style="1"/>
  </cols>
  <sheetData>
    <row r="1" spans="1:4" ht="19" x14ac:dyDescent="0.25">
      <c r="A1" s="12" t="s">
        <v>82</v>
      </c>
      <c r="B1" s="10"/>
      <c r="C1" s="10"/>
      <c r="D1" s="10"/>
    </row>
    <row r="2" spans="1:4" x14ac:dyDescent="0.2">
      <c r="A2" s="13" t="s">
        <v>81</v>
      </c>
      <c r="B2" s="10"/>
      <c r="C2" s="10"/>
      <c r="D2" s="10"/>
    </row>
    <row r="4" spans="1:4" ht="16" x14ac:dyDescent="0.2">
      <c r="A4" s="9" t="s">
        <v>34</v>
      </c>
      <c r="B4" s="8" t="s">
        <v>80</v>
      </c>
      <c r="C4" s="8" t="s">
        <v>79</v>
      </c>
      <c r="D4" s="8" t="s">
        <v>78</v>
      </c>
    </row>
    <row r="5" spans="1:4" x14ac:dyDescent="0.2">
      <c r="A5" s="6" t="s">
        <v>77</v>
      </c>
      <c r="B5" s="2"/>
      <c r="C5" s="2"/>
      <c r="D5" s="2"/>
    </row>
    <row r="6" spans="1:4" x14ac:dyDescent="0.2">
      <c r="A6" s="6" t="s">
        <v>76</v>
      </c>
      <c r="B6" s="2"/>
      <c r="C6" s="2"/>
      <c r="D6" s="2"/>
    </row>
    <row r="7" spans="1:4" x14ac:dyDescent="0.2">
      <c r="A7" s="4" t="s">
        <v>75</v>
      </c>
      <c r="B7" s="3">
        <v>1946</v>
      </c>
      <c r="C7" s="3">
        <v>1921</v>
      </c>
      <c r="D7" s="5">
        <v>1.301405517959396E-2</v>
      </c>
    </row>
    <row r="8" spans="1:4" x14ac:dyDescent="0.2">
      <c r="A8" s="4" t="s">
        <v>64</v>
      </c>
      <c r="B8" s="3">
        <v>213</v>
      </c>
      <c r="C8" s="3">
        <v>1689</v>
      </c>
      <c r="D8" s="5">
        <v>-0.87388987566607457</v>
      </c>
    </row>
    <row r="9" spans="1:4" x14ac:dyDescent="0.2">
      <c r="A9" s="4" t="s">
        <v>74</v>
      </c>
      <c r="B9" s="3">
        <v>372</v>
      </c>
      <c r="C9" s="3">
        <v>348</v>
      </c>
      <c r="D9" s="5">
        <v>6.8965517241379309E-2</v>
      </c>
    </row>
    <row r="10" spans="1:4" x14ac:dyDescent="0.2">
      <c r="A10" s="4" t="s">
        <v>73</v>
      </c>
      <c r="B10" s="3">
        <v>193</v>
      </c>
      <c r="C10" s="3">
        <v>158</v>
      </c>
      <c r="D10" s="5">
        <v>0.22151898734177211</v>
      </c>
    </row>
    <row r="11" spans="1:4" x14ac:dyDescent="0.2">
      <c r="A11" s="4" t="s">
        <v>63</v>
      </c>
      <c r="B11" s="3">
        <v>100</v>
      </c>
      <c r="C11" s="3">
        <v>0</v>
      </c>
      <c r="D11" s="2"/>
    </row>
    <row r="12" spans="1:4" x14ac:dyDescent="0.2">
      <c r="A12" s="4" t="s">
        <v>72</v>
      </c>
      <c r="B12" s="3">
        <v>414</v>
      </c>
      <c r="C12" s="3">
        <v>142</v>
      </c>
      <c r="D12" s="5">
        <v>1.915492957746479</v>
      </c>
    </row>
    <row r="13" spans="1:4" x14ac:dyDescent="0.2">
      <c r="A13" s="7" t="s">
        <v>71</v>
      </c>
      <c r="B13" s="3">
        <v>3238</v>
      </c>
      <c r="C13" s="3">
        <v>4258</v>
      </c>
      <c r="D13" s="5">
        <v>-0.23954908407703149</v>
      </c>
    </row>
    <row r="14" spans="1:4" x14ac:dyDescent="0.2">
      <c r="A14" s="4"/>
      <c r="B14" s="2"/>
      <c r="C14" s="2"/>
      <c r="D14" s="2"/>
    </row>
    <row r="15" spans="1:4" x14ac:dyDescent="0.2">
      <c r="A15" s="6" t="s">
        <v>70</v>
      </c>
      <c r="B15" s="2"/>
      <c r="C15" s="2"/>
      <c r="D15" s="2"/>
    </row>
    <row r="16" spans="1:4" x14ac:dyDescent="0.2">
      <c r="A16" s="4" t="s">
        <v>69</v>
      </c>
      <c r="B16" s="3">
        <v>10698</v>
      </c>
      <c r="C16" s="3">
        <v>10175</v>
      </c>
      <c r="D16" s="5">
        <v>5.1400491400491397E-2</v>
      </c>
    </row>
    <row r="17" spans="1:4" x14ac:dyDescent="0.2">
      <c r="A17" s="4" t="s">
        <v>68</v>
      </c>
      <c r="B17" s="3">
        <v>493</v>
      </c>
      <c r="C17" s="3">
        <v>481</v>
      </c>
      <c r="D17" s="5">
        <v>2.4948024948024949E-2</v>
      </c>
    </row>
    <row r="18" spans="1:4" x14ac:dyDescent="0.2">
      <c r="A18" s="7" t="s">
        <v>67</v>
      </c>
      <c r="B18" s="3">
        <v>11191</v>
      </c>
      <c r="C18" s="3">
        <v>10656</v>
      </c>
      <c r="D18" s="5">
        <v>5.0206456456456459E-2</v>
      </c>
    </row>
    <row r="19" spans="1:4" x14ac:dyDescent="0.2">
      <c r="A19" s="4"/>
      <c r="B19" s="2"/>
      <c r="C19" s="2"/>
      <c r="D19" s="2"/>
    </row>
    <row r="20" spans="1:4" x14ac:dyDescent="0.2">
      <c r="A20" s="4" t="s">
        <v>66</v>
      </c>
      <c r="B20" s="3">
        <v>868</v>
      </c>
      <c r="C20" s="3">
        <v>550</v>
      </c>
      <c r="D20" s="5">
        <v>0.57818181818181813</v>
      </c>
    </row>
    <row r="21" spans="1:4" x14ac:dyDescent="0.2">
      <c r="A21" s="4"/>
      <c r="B21" s="2"/>
      <c r="C21" s="2"/>
      <c r="D21" s="2"/>
    </row>
    <row r="22" spans="1:4" x14ac:dyDescent="0.2">
      <c r="A22" s="6" t="s">
        <v>65</v>
      </c>
      <c r="B22" s="2"/>
      <c r="C22" s="2"/>
      <c r="D22" s="2"/>
    </row>
    <row r="23" spans="1:4" x14ac:dyDescent="0.2">
      <c r="A23" s="4" t="s">
        <v>64</v>
      </c>
      <c r="B23" s="3">
        <v>318</v>
      </c>
      <c r="C23" s="3">
        <v>336</v>
      </c>
      <c r="D23" s="5">
        <v>-5.3571428571428568E-2</v>
      </c>
    </row>
    <row r="24" spans="1:4" x14ac:dyDescent="0.2">
      <c r="A24" s="4" t="s">
        <v>63</v>
      </c>
      <c r="B24" s="3">
        <v>249</v>
      </c>
      <c r="C24" s="3">
        <v>227</v>
      </c>
      <c r="D24" s="5">
        <v>9.6916299559471369E-2</v>
      </c>
    </row>
    <row r="25" spans="1:4" x14ac:dyDescent="0.2">
      <c r="A25" s="4" t="s">
        <v>62</v>
      </c>
      <c r="B25" s="3">
        <v>415</v>
      </c>
      <c r="C25" s="3">
        <v>399</v>
      </c>
      <c r="D25" s="5">
        <v>4.0100250626566407E-2</v>
      </c>
    </row>
    <row r="26" spans="1:4" x14ac:dyDescent="0.2">
      <c r="A26" s="4" t="s">
        <v>7</v>
      </c>
      <c r="B26" s="3">
        <v>291</v>
      </c>
      <c r="C26" s="3">
        <v>415</v>
      </c>
      <c r="D26" s="5">
        <v>-0.29879518072289157</v>
      </c>
    </row>
    <row r="27" spans="1:4" x14ac:dyDescent="0.2">
      <c r="A27" s="7" t="s">
        <v>61</v>
      </c>
      <c r="B27" s="3">
        <v>1273</v>
      </c>
      <c r="C27" s="3">
        <v>1377</v>
      </c>
      <c r="D27" s="5">
        <v>-7.552650689905592E-2</v>
      </c>
    </row>
    <row r="28" spans="1:4" x14ac:dyDescent="0.2">
      <c r="A28" s="4"/>
      <c r="B28" s="2"/>
      <c r="C28" s="2"/>
      <c r="D28" s="2"/>
    </row>
    <row r="29" spans="1:4" x14ac:dyDescent="0.2">
      <c r="A29" s="7" t="s">
        <v>60</v>
      </c>
      <c r="B29" s="3">
        <v>16570</v>
      </c>
      <c r="C29" s="3">
        <v>16841</v>
      </c>
      <c r="D29" s="5">
        <v>-1.609168101656671E-2</v>
      </c>
    </row>
    <row r="30" spans="1:4" x14ac:dyDescent="0.2">
      <c r="A30" s="4"/>
      <c r="B30" s="2"/>
      <c r="C30" s="2"/>
      <c r="D30" s="2"/>
    </row>
    <row r="31" spans="1:4" x14ac:dyDescent="0.2">
      <c r="A31" s="6" t="s">
        <v>59</v>
      </c>
      <c r="B31" s="2"/>
      <c r="C31" s="2"/>
      <c r="D31" s="2"/>
    </row>
    <row r="32" spans="1:4" x14ac:dyDescent="0.2">
      <c r="A32" s="6" t="s">
        <v>58</v>
      </c>
      <c r="B32" s="2"/>
      <c r="C32" s="2"/>
      <c r="D32" s="2"/>
    </row>
    <row r="33" spans="1:4" x14ac:dyDescent="0.2">
      <c r="A33" s="4" t="s">
        <v>57</v>
      </c>
      <c r="B33" s="3">
        <v>655</v>
      </c>
      <c r="C33" s="3">
        <v>619</v>
      </c>
      <c r="D33" s="5">
        <v>5.8158319870759291E-2</v>
      </c>
    </row>
    <row r="34" spans="1:4" x14ac:dyDescent="0.2">
      <c r="A34" s="4" t="s">
        <v>56</v>
      </c>
      <c r="B34" s="3">
        <v>1669</v>
      </c>
      <c r="C34" s="3">
        <v>1572</v>
      </c>
      <c r="D34" s="5">
        <v>6.1704834605597968E-2</v>
      </c>
    </row>
    <row r="35" spans="1:4" x14ac:dyDescent="0.2">
      <c r="A35" s="4" t="s">
        <v>55</v>
      </c>
      <c r="B35" s="3">
        <v>680</v>
      </c>
      <c r="C35" s="3">
        <v>663</v>
      </c>
      <c r="D35" s="5">
        <v>2.564102564102564E-2</v>
      </c>
    </row>
    <row r="36" spans="1:4" x14ac:dyDescent="0.2">
      <c r="A36" s="4" t="s">
        <v>54</v>
      </c>
      <c r="B36" s="3">
        <v>550</v>
      </c>
      <c r="C36" s="3">
        <v>542</v>
      </c>
      <c r="D36" s="5">
        <v>1.4760147601476011E-2</v>
      </c>
    </row>
    <row r="37" spans="1:4" x14ac:dyDescent="0.2">
      <c r="A37" s="4" t="s">
        <v>53</v>
      </c>
      <c r="B37" s="3">
        <v>79</v>
      </c>
      <c r="C37" s="3">
        <v>93</v>
      </c>
      <c r="D37" s="5">
        <v>-0.15053763440860221</v>
      </c>
    </row>
    <row r="38" spans="1:4" x14ac:dyDescent="0.2">
      <c r="A38" s="4" t="s">
        <v>52</v>
      </c>
      <c r="B38" s="3">
        <v>769</v>
      </c>
      <c r="C38" s="3">
        <v>392</v>
      </c>
      <c r="D38" s="5">
        <v>0.96173469387755106</v>
      </c>
    </row>
    <row r="39" spans="1:4" x14ac:dyDescent="0.2">
      <c r="A39" s="7" t="s">
        <v>51</v>
      </c>
      <c r="B39" s="3">
        <v>4402</v>
      </c>
      <c r="C39" s="3">
        <v>3881</v>
      </c>
      <c r="D39" s="5">
        <v>0.13424375161040969</v>
      </c>
    </row>
    <row r="40" spans="1:4" x14ac:dyDescent="0.2">
      <c r="A40" s="4"/>
      <c r="B40" s="2"/>
      <c r="C40" s="2"/>
      <c r="D40" s="2"/>
    </row>
    <row r="41" spans="1:4" x14ac:dyDescent="0.2">
      <c r="A41" s="4" t="s">
        <v>50</v>
      </c>
      <c r="B41" s="3">
        <v>7729</v>
      </c>
      <c r="C41" s="3">
        <v>8147</v>
      </c>
      <c r="D41" s="5">
        <v>-5.1307229655087758E-2</v>
      </c>
    </row>
    <row r="42" spans="1:4" x14ac:dyDescent="0.2">
      <c r="A42" s="4" t="s">
        <v>49</v>
      </c>
      <c r="B42" s="3">
        <v>839</v>
      </c>
      <c r="C42" s="3">
        <v>510</v>
      </c>
      <c r="D42" s="5">
        <v>0.64509803921568631</v>
      </c>
    </row>
    <row r="43" spans="1:4" x14ac:dyDescent="0.2">
      <c r="A43" s="4"/>
      <c r="B43" s="2"/>
      <c r="C43" s="2"/>
      <c r="D43" s="2"/>
    </row>
    <row r="44" spans="1:4" x14ac:dyDescent="0.2">
      <c r="A44" s="6" t="s">
        <v>48</v>
      </c>
      <c r="B44" s="2"/>
      <c r="C44" s="2"/>
      <c r="D44" s="2"/>
    </row>
    <row r="45" spans="1:4" x14ac:dyDescent="0.2">
      <c r="A45" s="4" t="s">
        <v>47</v>
      </c>
      <c r="B45" s="3">
        <v>447</v>
      </c>
      <c r="C45" s="3">
        <v>633</v>
      </c>
      <c r="D45" s="5">
        <v>-0.29383886255924169</v>
      </c>
    </row>
    <row r="46" spans="1:4" x14ac:dyDescent="0.2">
      <c r="A46" s="4" t="s">
        <v>46</v>
      </c>
      <c r="B46" s="3">
        <v>704</v>
      </c>
      <c r="C46" s="3">
        <v>653</v>
      </c>
      <c r="D46" s="5">
        <v>7.8101071975497705E-2</v>
      </c>
    </row>
    <row r="47" spans="1:4" x14ac:dyDescent="0.2">
      <c r="A47" s="4" t="s">
        <v>7</v>
      </c>
      <c r="B47" s="3">
        <v>329</v>
      </c>
      <c r="C47" s="3">
        <v>376</v>
      </c>
      <c r="D47" s="5">
        <v>-0.125</v>
      </c>
    </row>
    <row r="48" spans="1:4" x14ac:dyDescent="0.2">
      <c r="A48" s="7" t="s">
        <v>45</v>
      </c>
      <c r="B48" s="3">
        <v>1480</v>
      </c>
      <c r="C48" s="3">
        <v>1662</v>
      </c>
      <c r="D48" s="5">
        <v>-0.1095066185318893</v>
      </c>
    </row>
    <row r="49" spans="1:4" x14ac:dyDescent="0.2">
      <c r="A49" s="4"/>
      <c r="B49" s="2"/>
      <c r="C49" s="2"/>
      <c r="D49" s="2"/>
    </row>
    <row r="50" spans="1:4" x14ac:dyDescent="0.2">
      <c r="A50" s="6" t="s">
        <v>44</v>
      </c>
      <c r="B50" s="2"/>
      <c r="C50" s="2"/>
      <c r="D50" s="2"/>
    </row>
    <row r="51" spans="1:4" x14ac:dyDescent="0.2">
      <c r="A51" s="4" t="s">
        <v>43</v>
      </c>
      <c r="B51" s="3">
        <v>5</v>
      </c>
      <c r="C51" s="3">
        <v>5</v>
      </c>
      <c r="D51" s="2">
        <v>0</v>
      </c>
    </row>
    <row r="52" spans="1:4" x14ac:dyDescent="0.2">
      <c r="A52" s="4" t="s">
        <v>42</v>
      </c>
      <c r="B52" s="3">
        <v>-2013</v>
      </c>
      <c r="C52" s="3">
        <v>-2005</v>
      </c>
      <c r="D52" s="5">
        <v>-3.9900249376558601E-3</v>
      </c>
    </row>
    <row r="53" spans="1:4" x14ac:dyDescent="0.2">
      <c r="A53" s="4" t="s">
        <v>41</v>
      </c>
      <c r="B53" s="3">
        <v>3412</v>
      </c>
      <c r="C53" s="3">
        <v>3320</v>
      </c>
      <c r="D53" s="5">
        <v>2.7710843373493971E-2</v>
      </c>
    </row>
    <row r="54" spans="1:4" x14ac:dyDescent="0.2">
      <c r="A54" s="4" t="s">
        <v>40</v>
      </c>
      <c r="B54" s="3">
        <v>717</v>
      </c>
      <c r="C54" s="3">
        <v>1319</v>
      </c>
      <c r="D54" s="5">
        <v>-0.45640636846095528</v>
      </c>
    </row>
    <row r="55" spans="1:4" x14ac:dyDescent="0.2">
      <c r="A55" s="4" t="s">
        <v>39</v>
      </c>
      <c r="B55" s="3">
        <v>-1</v>
      </c>
      <c r="C55" s="3">
        <v>2</v>
      </c>
      <c r="D55" s="2"/>
    </row>
    <row r="56" spans="1:4" x14ac:dyDescent="0.2">
      <c r="A56" s="7" t="s">
        <v>38</v>
      </c>
      <c r="B56" s="3">
        <v>2120</v>
      </c>
      <c r="C56" s="3">
        <v>2641</v>
      </c>
      <c r="D56" s="5">
        <v>-0.1972737599394169</v>
      </c>
    </row>
    <row r="57" spans="1:4" x14ac:dyDescent="0.2">
      <c r="A57" s="4"/>
      <c r="B57" s="2"/>
      <c r="C57" s="2"/>
      <c r="D57" s="2"/>
    </row>
    <row r="58" spans="1:4" x14ac:dyDescent="0.2">
      <c r="A58" s="7" t="s">
        <v>37</v>
      </c>
      <c r="B58" s="3">
        <v>16570</v>
      </c>
      <c r="C58" s="3">
        <v>16841</v>
      </c>
      <c r="D58" s="5">
        <v>-1.609168101656671E-2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5EFE9-54F1-8247-88EB-B5D32D7A32C7}">
  <dimension ref="A1:E28"/>
  <sheetViews>
    <sheetView workbookViewId="0">
      <selection activeCell="A18" sqref="A18"/>
    </sheetView>
  </sheetViews>
  <sheetFormatPr baseColWidth="10" defaultColWidth="8.83203125" defaultRowHeight="15" x14ac:dyDescent="0.2"/>
  <cols>
    <col min="1" max="1" width="55" style="1" customWidth="1"/>
    <col min="2" max="5" width="18" style="1" customWidth="1"/>
    <col min="6" max="16384" width="8.83203125" style="1"/>
  </cols>
  <sheetData>
    <row r="1" spans="1:5" ht="19" x14ac:dyDescent="0.25">
      <c r="A1" s="12" t="s">
        <v>103</v>
      </c>
      <c r="B1" s="10"/>
      <c r="C1" s="10"/>
      <c r="D1" s="10"/>
      <c r="E1" s="10"/>
    </row>
    <row r="3" spans="1:5" ht="16" x14ac:dyDescent="0.2">
      <c r="A3" s="9" t="s">
        <v>34</v>
      </c>
      <c r="B3" s="8" t="s">
        <v>33</v>
      </c>
      <c r="C3" s="8" t="s">
        <v>32</v>
      </c>
      <c r="D3" s="8" t="s">
        <v>31</v>
      </c>
      <c r="E3" s="8" t="s">
        <v>30</v>
      </c>
    </row>
    <row r="4" spans="1:5" x14ac:dyDescent="0.2">
      <c r="A4" s="6" t="s">
        <v>102</v>
      </c>
      <c r="B4" s="2"/>
      <c r="C4" s="2"/>
      <c r="D4" s="2"/>
      <c r="E4" s="2"/>
    </row>
    <row r="5" spans="1:5" x14ac:dyDescent="0.2">
      <c r="A5" s="4" t="s">
        <v>101</v>
      </c>
      <c r="B5" s="3">
        <v>-602</v>
      </c>
      <c r="C5" s="3">
        <v>-795</v>
      </c>
      <c r="D5" s="3">
        <v>-310</v>
      </c>
      <c r="E5" s="5">
        <v>0.24276729559748431</v>
      </c>
    </row>
    <row r="6" spans="1:5" x14ac:dyDescent="0.2">
      <c r="A6" s="4" t="s">
        <v>47</v>
      </c>
      <c r="B6" s="3">
        <v>-183</v>
      </c>
      <c r="C6" s="3">
        <v>-110</v>
      </c>
      <c r="D6" s="3">
        <v>-27</v>
      </c>
      <c r="E6" s="5">
        <v>-0.66363636363636369</v>
      </c>
    </row>
    <row r="7" spans="1:5" x14ac:dyDescent="0.2">
      <c r="A7" s="4" t="s">
        <v>21</v>
      </c>
      <c r="B7" s="3">
        <v>688</v>
      </c>
      <c r="C7" s="3">
        <v>655</v>
      </c>
      <c r="D7" s="3">
        <v>621</v>
      </c>
      <c r="E7" s="5">
        <v>5.0381679389312983E-2</v>
      </c>
    </row>
    <row r="8" spans="1:5" x14ac:dyDescent="0.2">
      <c r="A8" s="4" t="s">
        <v>100</v>
      </c>
      <c r="B8" s="3">
        <v>40</v>
      </c>
      <c r="C8" s="3">
        <v>39</v>
      </c>
      <c r="D8" s="3">
        <v>39</v>
      </c>
      <c r="E8" s="5">
        <v>2.564102564102564E-2</v>
      </c>
    </row>
    <row r="9" spans="1:5" x14ac:dyDescent="0.2">
      <c r="A9" s="4" t="s">
        <v>99</v>
      </c>
      <c r="B9" s="3">
        <v>-99</v>
      </c>
      <c r="C9" s="3">
        <v>-17</v>
      </c>
      <c r="D9" s="3">
        <v>0</v>
      </c>
      <c r="E9" s="2"/>
    </row>
    <row r="10" spans="1:5" x14ac:dyDescent="0.2">
      <c r="A10" s="4" t="s">
        <v>98</v>
      </c>
      <c r="B10" s="3">
        <v>-38</v>
      </c>
      <c r="C10" s="3">
        <v>-28</v>
      </c>
      <c r="D10" s="3">
        <v>77</v>
      </c>
      <c r="E10" s="2"/>
    </row>
    <row r="11" spans="1:5" x14ac:dyDescent="0.2">
      <c r="A11" s="7" t="s">
        <v>97</v>
      </c>
      <c r="B11" s="3">
        <v>-94</v>
      </c>
      <c r="C11" s="3">
        <v>144</v>
      </c>
      <c r="D11" s="3">
        <v>400</v>
      </c>
      <c r="E11" s="5">
        <v>-1.6527777777777779</v>
      </c>
    </row>
    <row r="12" spans="1:5" x14ac:dyDescent="0.2">
      <c r="A12" s="4"/>
      <c r="B12" s="2"/>
      <c r="C12" s="2"/>
      <c r="D12" s="2"/>
      <c r="E12" s="2"/>
    </row>
    <row r="13" spans="1:5" x14ac:dyDescent="0.2">
      <c r="A13" s="6" t="s">
        <v>96</v>
      </c>
      <c r="B13" s="2"/>
      <c r="C13" s="2"/>
      <c r="D13" s="2"/>
      <c r="E13" s="2"/>
    </row>
    <row r="14" spans="1:5" x14ac:dyDescent="0.2">
      <c r="A14" s="4" t="s">
        <v>95</v>
      </c>
      <c r="B14" s="3">
        <v>-1078</v>
      </c>
      <c r="C14" s="3">
        <v>-1478</v>
      </c>
      <c r="D14" s="3">
        <v>-1128</v>
      </c>
      <c r="E14" s="5">
        <v>0.2706359945872801</v>
      </c>
    </row>
    <row r="15" spans="1:5" x14ac:dyDescent="0.2">
      <c r="A15" s="4" t="s">
        <v>94</v>
      </c>
      <c r="B15" s="3">
        <v>1503</v>
      </c>
      <c r="C15" s="3">
        <v>-1461</v>
      </c>
      <c r="D15" s="3">
        <v>-42</v>
      </c>
      <c r="E15" s="2"/>
    </row>
    <row r="16" spans="1:5" x14ac:dyDescent="0.2">
      <c r="A16" s="4" t="s">
        <v>93</v>
      </c>
      <c r="B16" s="3">
        <v>279</v>
      </c>
      <c r="C16" s="3">
        <v>30</v>
      </c>
      <c r="D16" s="3">
        <v>12</v>
      </c>
      <c r="E16" s="5">
        <v>8.3000000000000007</v>
      </c>
    </row>
    <row r="17" spans="1:5" x14ac:dyDescent="0.2">
      <c r="A17" s="7" t="s">
        <v>92</v>
      </c>
      <c r="B17" s="3">
        <v>658</v>
      </c>
      <c r="C17" s="3">
        <v>-3080</v>
      </c>
      <c r="D17" s="3">
        <v>-1378</v>
      </c>
      <c r="E17" s="5">
        <v>1.2136363636363641</v>
      </c>
    </row>
    <row r="18" spans="1:5" x14ac:dyDescent="0.2">
      <c r="A18" s="4"/>
      <c r="B18" s="2"/>
      <c r="C18" s="2"/>
      <c r="D18" s="2"/>
      <c r="E18" s="2"/>
    </row>
    <row r="19" spans="1:5" x14ac:dyDescent="0.2">
      <c r="A19" s="6" t="s">
        <v>91</v>
      </c>
      <c r="B19" s="2"/>
      <c r="C19" s="2"/>
      <c r="D19" s="2"/>
      <c r="E19" s="2"/>
    </row>
    <row r="20" spans="1:5" x14ac:dyDescent="0.2">
      <c r="A20" s="4" t="s">
        <v>90</v>
      </c>
      <c r="B20" s="3">
        <v>0</v>
      </c>
      <c r="C20" s="3">
        <v>3793</v>
      </c>
      <c r="D20" s="3">
        <v>78</v>
      </c>
      <c r="E20" s="2"/>
    </row>
    <row r="21" spans="1:5" x14ac:dyDescent="0.2">
      <c r="A21" s="4" t="s">
        <v>89</v>
      </c>
      <c r="B21" s="3">
        <v>0</v>
      </c>
      <c r="C21" s="3">
        <v>668</v>
      </c>
      <c r="D21" s="3">
        <v>1331</v>
      </c>
      <c r="E21" s="2"/>
    </row>
    <row r="22" spans="1:5" x14ac:dyDescent="0.2">
      <c r="A22" s="4" t="s">
        <v>88</v>
      </c>
      <c r="B22" s="3">
        <v>-461</v>
      </c>
      <c r="C22" s="3">
        <v>-748</v>
      </c>
      <c r="D22" s="3">
        <v>-347</v>
      </c>
      <c r="E22" s="5">
        <v>0.38368983957219249</v>
      </c>
    </row>
    <row r="23" spans="1:5" x14ac:dyDescent="0.2">
      <c r="A23" s="4" t="s">
        <v>87</v>
      </c>
      <c r="B23" s="3">
        <v>-44</v>
      </c>
      <c r="C23" s="3">
        <v>54</v>
      </c>
      <c r="D23" s="3">
        <v>-55</v>
      </c>
      <c r="E23" s="2"/>
    </row>
    <row r="24" spans="1:5" x14ac:dyDescent="0.2">
      <c r="A24" s="7" t="s">
        <v>86</v>
      </c>
      <c r="B24" s="3">
        <v>-417</v>
      </c>
      <c r="C24" s="3">
        <v>3767</v>
      </c>
      <c r="D24" s="3">
        <v>1107</v>
      </c>
      <c r="E24" s="5">
        <v>-1.1106981683036901</v>
      </c>
    </row>
    <row r="25" spans="1:5" x14ac:dyDescent="0.2">
      <c r="A25" s="4"/>
      <c r="B25" s="2"/>
      <c r="C25" s="2"/>
      <c r="D25" s="2"/>
      <c r="E25" s="2"/>
    </row>
    <row r="26" spans="1:5" x14ac:dyDescent="0.2">
      <c r="A26" s="4" t="s">
        <v>85</v>
      </c>
      <c r="B26" s="3">
        <v>147</v>
      </c>
      <c r="C26" s="3">
        <v>831</v>
      </c>
      <c r="D26" s="3">
        <v>129</v>
      </c>
      <c r="E26" s="5">
        <v>-0.82310469314079426</v>
      </c>
    </row>
    <row r="27" spans="1:5" x14ac:dyDescent="0.2">
      <c r="A27" s="4" t="s">
        <v>84</v>
      </c>
      <c r="B27" s="3">
        <v>2148</v>
      </c>
      <c r="C27" s="3">
        <v>1317</v>
      </c>
      <c r="D27" s="3">
        <v>1188</v>
      </c>
      <c r="E27" s="2"/>
    </row>
    <row r="28" spans="1:5" x14ac:dyDescent="0.2">
      <c r="A28" s="4" t="s">
        <v>83</v>
      </c>
      <c r="B28" s="3">
        <v>2295</v>
      </c>
      <c r="C28" s="3">
        <v>2148</v>
      </c>
      <c r="D28" s="3">
        <v>1317</v>
      </c>
      <c r="E28" s="5">
        <v>6.8435754189944131E-2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69D65-B536-6B44-8B82-45E5EF8C3042}">
  <dimension ref="A1:F44"/>
  <sheetViews>
    <sheetView topLeftCell="A11" workbookViewId="0">
      <selection activeCell="A5" sqref="A5:D5"/>
    </sheetView>
  </sheetViews>
  <sheetFormatPr baseColWidth="10" defaultColWidth="8.83203125" defaultRowHeight="15" x14ac:dyDescent="0.2"/>
  <cols>
    <col min="1" max="1" width="45" style="1" customWidth="1"/>
    <col min="2" max="3" width="20" style="1" customWidth="1"/>
    <col min="4" max="4" width="18" style="1" customWidth="1"/>
    <col min="5" max="5" width="22" style="1" customWidth="1"/>
    <col min="6" max="6" width="20" style="1" customWidth="1"/>
    <col min="7" max="16384" width="8.83203125" style="1"/>
  </cols>
  <sheetData>
    <row r="1" spans="1:6" ht="19" x14ac:dyDescent="0.25">
      <c r="A1" s="12" t="s">
        <v>177</v>
      </c>
      <c r="B1" s="10"/>
      <c r="C1" s="10"/>
      <c r="D1" s="10"/>
      <c r="E1" s="10"/>
      <c r="F1" s="10"/>
    </row>
    <row r="2" spans="1:6" x14ac:dyDescent="0.2">
      <c r="A2" s="22" t="s">
        <v>176</v>
      </c>
      <c r="B2" s="10"/>
      <c r="C2" s="10"/>
      <c r="D2" s="10"/>
      <c r="E2" s="10"/>
      <c r="F2" s="10"/>
    </row>
    <row r="4" spans="1:6" ht="16" x14ac:dyDescent="0.2">
      <c r="A4" s="21" t="s">
        <v>175</v>
      </c>
      <c r="B4" s="10"/>
      <c r="C4" s="10"/>
      <c r="D4" s="10"/>
      <c r="E4" s="10"/>
      <c r="F4" s="10"/>
    </row>
    <row r="5" spans="1:6" ht="16" x14ac:dyDescent="0.2">
      <c r="A5" s="16" t="s">
        <v>136</v>
      </c>
      <c r="B5" s="16" t="s">
        <v>161</v>
      </c>
      <c r="C5" s="16" t="s">
        <v>160</v>
      </c>
      <c r="D5" s="16" t="s">
        <v>159</v>
      </c>
      <c r="E5" s="16" t="s">
        <v>158</v>
      </c>
      <c r="F5" s="16" t="s">
        <v>157</v>
      </c>
    </row>
    <row r="6" spans="1:6" x14ac:dyDescent="0.2">
      <c r="A6" s="1" t="s">
        <v>174</v>
      </c>
      <c r="B6" s="19">
        <v>9062</v>
      </c>
      <c r="C6" s="19">
        <v>9279</v>
      </c>
      <c r="D6" s="19">
        <v>9615</v>
      </c>
      <c r="E6" s="1">
        <v>-2.3386140747925419E-2</v>
      </c>
      <c r="F6" s="1" t="s">
        <v>173</v>
      </c>
    </row>
    <row r="7" spans="1:6" x14ac:dyDescent="0.2">
      <c r="A7" s="1" t="s">
        <v>172</v>
      </c>
      <c r="B7" s="20">
        <v>-4.0999999999999996</v>
      </c>
      <c r="C7" s="20">
        <v>-7.4</v>
      </c>
      <c r="D7" s="20">
        <v>-2.4</v>
      </c>
      <c r="E7" s="1">
        <v>3.3</v>
      </c>
      <c r="F7" s="1" t="s">
        <v>171</v>
      </c>
    </row>
    <row r="8" spans="1:6" x14ac:dyDescent="0.2">
      <c r="A8" s="1" t="s">
        <v>170</v>
      </c>
      <c r="B8" s="19">
        <v>-602</v>
      </c>
      <c r="C8" s="19">
        <v>-795</v>
      </c>
      <c r="D8" s="19">
        <v>-310</v>
      </c>
      <c r="E8" s="1" t="s">
        <v>167</v>
      </c>
      <c r="F8" s="1" t="s">
        <v>169</v>
      </c>
    </row>
    <row r="9" spans="1:6" x14ac:dyDescent="0.2">
      <c r="A9" s="1" t="s">
        <v>168</v>
      </c>
      <c r="B9" s="19">
        <v>-1.66</v>
      </c>
      <c r="C9" s="19">
        <v>-2.2999999999999998</v>
      </c>
      <c r="D9" s="19">
        <v>-0.93</v>
      </c>
      <c r="E9" s="1" t="s">
        <v>167</v>
      </c>
      <c r="F9" s="1" t="s">
        <v>166</v>
      </c>
    </row>
    <row r="10" spans="1:6" x14ac:dyDescent="0.2">
      <c r="A10" s="1" t="s">
        <v>165</v>
      </c>
      <c r="B10" s="19">
        <v>305</v>
      </c>
      <c r="C10" s="1" t="s">
        <v>164</v>
      </c>
      <c r="D10" s="1" t="s">
        <v>140</v>
      </c>
      <c r="F10" s="1" t="s">
        <v>163</v>
      </c>
    </row>
    <row r="13" spans="1:6" ht="16" x14ac:dyDescent="0.2">
      <c r="A13" s="17" t="s">
        <v>162</v>
      </c>
    </row>
    <row r="14" spans="1:6" ht="16" x14ac:dyDescent="0.2">
      <c r="A14" s="16" t="s">
        <v>136</v>
      </c>
      <c r="B14" s="16" t="s">
        <v>161</v>
      </c>
      <c r="C14" s="16" t="s">
        <v>160</v>
      </c>
      <c r="D14" s="16" t="s">
        <v>159</v>
      </c>
      <c r="E14" s="16" t="s">
        <v>158</v>
      </c>
      <c r="F14" s="16" t="s">
        <v>157</v>
      </c>
    </row>
    <row r="15" spans="1:6" x14ac:dyDescent="0.2">
      <c r="A15" s="1" t="s">
        <v>156</v>
      </c>
      <c r="B15" s="19">
        <v>1946</v>
      </c>
      <c r="C15" s="19">
        <v>1921</v>
      </c>
      <c r="D15" s="19">
        <v>1166</v>
      </c>
      <c r="E15" s="1">
        <v>1.301405517959396E-2</v>
      </c>
      <c r="F15" s="1" t="s">
        <v>145</v>
      </c>
    </row>
    <row r="16" spans="1:6" x14ac:dyDescent="0.2">
      <c r="A16" s="1" t="s">
        <v>155</v>
      </c>
      <c r="B16" s="19">
        <v>2500</v>
      </c>
      <c r="C16" s="1" t="s">
        <v>140</v>
      </c>
      <c r="D16" s="1" t="s">
        <v>140</v>
      </c>
      <c r="F16" s="1" t="s">
        <v>154</v>
      </c>
    </row>
    <row r="17" spans="1:6" x14ac:dyDescent="0.2">
      <c r="A17" s="1" t="s">
        <v>153</v>
      </c>
      <c r="B17" s="19">
        <v>3238</v>
      </c>
      <c r="C17" s="19">
        <v>4258</v>
      </c>
      <c r="D17" s="1" t="s">
        <v>140</v>
      </c>
      <c r="E17" s="1">
        <v>-0.23954908407703149</v>
      </c>
      <c r="F17" s="1" t="s">
        <v>142</v>
      </c>
    </row>
    <row r="18" spans="1:6" x14ac:dyDescent="0.2">
      <c r="A18" s="1" t="s">
        <v>152</v>
      </c>
      <c r="B18" s="19">
        <v>4402</v>
      </c>
      <c r="C18" s="19">
        <v>3881</v>
      </c>
      <c r="D18" s="1" t="s">
        <v>140</v>
      </c>
      <c r="E18" s="1">
        <v>0.13424375161040969</v>
      </c>
      <c r="F18" s="1" t="s">
        <v>139</v>
      </c>
    </row>
    <row r="19" spans="1:6" x14ac:dyDescent="0.2">
      <c r="A19" s="1" t="s">
        <v>151</v>
      </c>
      <c r="B19" s="19">
        <v>-1164</v>
      </c>
      <c r="C19" s="19">
        <v>377</v>
      </c>
      <c r="D19" s="1" t="s">
        <v>140</v>
      </c>
      <c r="E19" s="1" t="s">
        <v>150</v>
      </c>
      <c r="F19" s="1" t="s">
        <v>148</v>
      </c>
    </row>
    <row r="20" spans="1:6" x14ac:dyDescent="0.2">
      <c r="A20" s="1" t="s">
        <v>149</v>
      </c>
      <c r="B20" s="18">
        <v>0.74</v>
      </c>
      <c r="C20" s="18">
        <v>1.1000000000000001</v>
      </c>
      <c r="D20" s="1" t="s">
        <v>140</v>
      </c>
      <c r="E20" s="1" t="s">
        <v>148</v>
      </c>
      <c r="F20" s="1" t="s">
        <v>147</v>
      </c>
    </row>
    <row r="21" spans="1:6" x14ac:dyDescent="0.2">
      <c r="A21" s="1" t="s">
        <v>146</v>
      </c>
      <c r="B21" s="19">
        <v>8498</v>
      </c>
      <c r="C21" s="19">
        <v>8539</v>
      </c>
      <c r="D21" s="1" t="s">
        <v>140</v>
      </c>
      <c r="E21" s="1" t="s">
        <v>145</v>
      </c>
      <c r="F21" s="1" t="s">
        <v>144</v>
      </c>
    </row>
    <row r="22" spans="1:6" x14ac:dyDescent="0.2">
      <c r="A22" s="1" t="s">
        <v>143</v>
      </c>
      <c r="B22" s="19">
        <v>2120</v>
      </c>
      <c r="C22" s="19">
        <v>2641</v>
      </c>
      <c r="D22" s="1" t="s">
        <v>140</v>
      </c>
      <c r="E22" s="1">
        <v>-0.1972737599394169</v>
      </c>
      <c r="F22" s="1" t="s">
        <v>142</v>
      </c>
    </row>
    <row r="23" spans="1:6" x14ac:dyDescent="0.2">
      <c r="A23" s="1" t="s">
        <v>141</v>
      </c>
      <c r="B23" s="18">
        <v>4.01</v>
      </c>
      <c r="C23" s="18">
        <v>3.23</v>
      </c>
      <c r="D23" s="1" t="s">
        <v>140</v>
      </c>
      <c r="E23" s="1" t="s">
        <v>139</v>
      </c>
      <c r="F23" s="1" t="s">
        <v>138</v>
      </c>
    </row>
    <row r="27" spans="1:6" ht="16" x14ac:dyDescent="0.2">
      <c r="A27" s="17" t="s">
        <v>137</v>
      </c>
    </row>
    <row r="28" spans="1:6" ht="16" x14ac:dyDescent="0.2">
      <c r="A28" s="16" t="s">
        <v>136</v>
      </c>
      <c r="B28" s="16" t="s">
        <v>135</v>
      </c>
      <c r="C28" s="16" t="s">
        <v>134</v>
      </c>
    </row>
    <row r="29" spans="1:6" x14ac:dyDescent="0.2">
      <c r="A29" s="1" t="s">
        <v>133</v>
      </c>
      <c r="B29" s="1" t="s">
        <v>132</v>
      </c>
      <c r="C29" s="1" t="s">
        <v>131</v>
      </c>
    </row>
    <row r="30" spans="1:6" x14ac:dyDescent="0.2">
      <c r="A30" s="1" t="s">
        <v>130</v>
      </c>
      <c r="B30" s="1" t="s">
        <v>129</v>
      </c>
      <c r="C30" s="1" t="s">
        <v>128</v>
      </c>
    </row>
    <row r="31" spans="1:6" x14ac:dyDescent="0.2">
      <c r="A31" s="1" t="s">
        <v>127</v>
      </c>
      <c r="B31" s="1" t="s">
        <v>126</v>
      </c>
      <c r="C31" s="1" t="s">
        <v>125</v>
      </c>
    </row>
    <row r="32" spans="1:6" x14ac:dyDescent="0.2">
      <c r="A32" s="1" t="s">
        <v>124</v>
      </c>
      <c r="B32" s="1" t="s">
        <v>123</v>
      </c>
      <c r="C32" s="1" t="s">
        <v>122</v>
      </c>
    </row>
    <row r="33" spans="1:3" x14ac:dyDescent="0.2">
      <c r="A33" s="1" t="s">
        <v>121</v>
      </c>
      <c r="B33" s="1" t="s">
        <v>120</v>
      </c>
      <c r="C33" s="1" t="s">
        <v>119</v>
      </c>
    </row>
    <row r="34" spans="1:3" x14ac:dyDescent="0.2">
      <c r="A34" s="1" t="s">
        <v>118</v>
      </c>
      <c r="B34" s="1" t="s">
        <v>117</v>
      </c>
      <c r="C34" s="1" t="s">
        <v>116</v>
      </c>
    </row>
    <row r="35" spans="1:3" x14ac:dyDescent="0.2">
      <c r="A35" s="1" t="s">
        <v>115</v>
      </c>
      <c r="B35" s="1" t="s">
        <v>114</v>
      </c>
      <c r="C35" s="1" t="s">
        <v>113</v>
      </c>
    </row>
    <row r="36" spans="1:3" x14ac:dyDescent="0.2">
      <c r="A36" s="1" t="s">
        <v>112</v>
      </c>
      <c r="B36" s="1" t="s">
        <v>111</v>
      </c>
      <c r="C36" s="1" t="s">
        <v>110</v>
      </c>
    </row>
    <row r="39" spans="1:3" x14ac:dyDescent="0.2">
      <c r="A39" s="15" t="s">
        <v>109</v>
      </c>
    </row>
    <row r="40" spans="1:3" x14ac:dyDescent="0.2">
      <c r="A40" s="14" t="s">
        <v>108</v>
      </c>
    </row>
    <row r="41" spans="1:3" x14ac:dyDescent="0.2">
      <c r="A41" s="14" t="s">
        <v>107</v>
      </c>
    </row>
    <row r="42" spans="1:3" x14ac:dyDescent="0.2">
      <c r="A42" s="14" t="s">
        <v>106</v>
      </c>
    </row>
    <row r="43" spans="1:3" x14ac:dyDescent="0.2">
      <c r="A43" s="14" t="s">
        <v>105</v>
      </c>
    </row>
    <row r="44" spans="1:3" x14ac:dyDescent="0.2">
      <c r="A44" s="14" t="s">
        <v>104</v>
      </c>
    </row>
  </sheetData>
  <mergeCells count="3">
    <mergeCell ref="A2:F2"/>
    <mergeCell ref="A1:F1"/>
    <mergeCell ref="A4:F4"/>
  </mergeCells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7739-E33D-1F43-98E8-597C3DA9ADE8}">
  <dimension ref="A1:E6"/>
  <sheetViews>
    <sheetView tabSelected="1" workbookViewId="0">
      <selection activeCell="B6" sqref="B6"/>
    </sheetView>
  </sheetViews>
  <sheetFormatPr baseColWidth="10" defaultRowHeight="16" x14ac:dyDescent="0.2"/>
  <sheetData>
    <row r="1" spans="1:5" x14ac:dyDescent="0.2">
      <c r="A1" s="23" t="s">
        <v>178</v>
      </c>
    </row>
    <row r="3" spans="1:5" x14ac:dyDescent="0.2">
      <c r="A3" s="24" t="s">
        <v>179</v>
      </c>
    </row>
    <row r="4" spans="1:5" x14ac:dyDescent="0.2">
      <c r="A4" s="16" t="s">
        <v>136</v>
      </c>
      <c r="B4" s="16" t="s">
        <v>161</v>
      </c>
      <c r="C4" s="16" t="s">
        <v>160</v>
      </c>
      <c r="D4" s="16" t="s">
        <v>159</v>
      </c>
      <c r="E4" s="16" t="s">
        <v>157</v>
      </c>
    </row>
    <row r="5" spans="1:5" x14ac:dyDescent="0.2">
      <c r="A5" t="s">
        <v>180</v>
      </c>
      <c r="B5" s="25">
        <f>Balance_Sheet!B13/Balance_Sheet!B39</f>
        <v>0.73557473875511137</v>
      </c>
      <c r="C5" s="25">
        <f>Balance_Sheet!C13/Balance_Sheet!C39</f>
        <v>1.0971399123937129</v>
      </c>
      <c r="D5" s="25"/>
    </row>
    <row r="6" spans="1:5" x14ac:dyDescent="0.2">
      <c r="A6" t="s">
        <v>181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Income_Statement</vt:lpstr>
      <vt:lpstr>Balance_Sheet</vt:lpstr>
      <vt:lpstr>Cash_Flow_Statement</vt:lpstr>
      <vt:lpstr>Key_Metrics_Analysis</vt:lpstr>
      <vt:lpstr>Ratio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 心然</dc:creator>
  <cp:lastModifiedBy>李 心然</cp:lastModifiedBy>
  <dcterms:created xsi:type="dcterms:W3CDTF">2026-07-13T02:01:23Z</dcterms:created>
  <dcterms:modified xsi:type="dcterms:W3CDTF">2026-07-16T00:07:28Z</dcterms:modified>
</cp:coreProperties>
</file>